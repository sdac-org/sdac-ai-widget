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" sheetId="1" r:id="rId4"/>
  </sheets>
  <definedNames/>
  <calcPr/>
  <extLst>
    <ext uri="GoogleSheetsCustomDataVersion2">
      <go:sheetsCustomData xmlns:go="http://customooxmlschemas.google.com/" r:id="rId5" roundtripDataChecksum="Db4/7ej2ykd+doT4AYw4JghhxM8He3Ab2o7/7SWG5aY="/>
    </ext>
  </extLst>
</workbook>
</file>

<file path=xl/sharedStrings.xml><?xml version="1.0" encoding="utf-8"?>
<sst xmlns="http://schemas.openxmlformats.org/spreadsheetml/2006/main" count="140" uniqueCount="74">
  <si>
    <t>COST POOL STAFF FUNDING REPORT</t>
  </si>
  <si>
    <t>Maplewood-Richmond Heights</t>
  </si>
  <si>
    <t>TOTAL CLAIMABLE SALARY COST POOL 1</t>
  </si>
  <si>
    <t>Run Date: 06/24/2025 10:54:27</t>
  </si>
  <si>
    <t>Quarter: 3  Year: 2025</t>
  </si>
  <si>
    <t>TOTAL CLAIMABLE FRINGE COST POOL 1</t>
  </si>
  <si>
    <t>TOTAL CLAIMABLE SALARY COST POOL 2</t>
  </si>
  <si>
    <t>TOTAL CLAIMABLE FRINGE COST POOL 2</t>
  </si>
  <si>
    <t>*Yellow header indicates a required field.</t>
  </si>
  <si>
    <t>**Only columns highlighted in yellow should be modified, all other fields should stay in a protected status**</t>
  </si>
  <si>
    <t>Source</t>
  </si>
  <si>
    <t>Function</t>
  </si>
  <si>
    <t>Cost Pool</t>
  </si>
  <si>
    <t>Job Title</t>
  </si>
  <si>
    <t>Unique Identifier</t>
  </si>
  <si>
    <t>First Name</t>
  </si>
  <si>
    <t>Last Name</t>
  </si>
  <si>
    <t>Gross Salary</t>
  </si>
  <si>
    <t>% of Federal Funds</t>
  </si>
  <si>
    <t>% of State/Local Funds</t>
  </si>
  <si>
    <t>Claimable Salary</t>
  </si>
  <si>
    <t>Gross Fringe</t>
  </si>
  <si>
    <t>Claimable Fringe</t>
  </si>
  <si>
    <t>Total</t>
  </si>
  <si>
    <t>Direct Support Personnel</t>
  </si>
  <si>
    <t>Comments</t>
  </si>
  <si>
    <t>School Counselor</t>
  </si>
  <si>
    <t>Terri</t>
  </si>
  <si>
    <t>Brown</t>
  </si>
  <si>
    <t>N</t>
  </si>
  <si>
    <t>Dorinda</t>
  </si>
  <si>
    <t>Busby</t>
  </si>
  <si>
    <t>School Nurse</t>
  </si>
  <si>
    <t>Meagan</t>
  </si>
  <si>
    <t>Crombie</t>
  </si>
  <si>
    <t>Assistant Principal</t>
  </si>
  <si>
    <t>Rashaad</t>
  </si>
  <si>
    <t>Davenport</t>
  </si>
  <si>
    <t>Director of Student Services</t>
  </si>
  <si>
    <t>Vicente</t>
  </si>
  <si>
    <t>Estrada</t>
  </si>
  <si>
    <t>Director of Intervention Services</t>
  </si>
  <si>
    <t>Melissa</t>
  </si>
  <si>
    <t>Fuoss</t>
  </si>
  <si>
    <t>Angel</t>
  </si>
  <si>
    <t>Goldberg</t>
  </si>
  <si>
    <t>Justin</t>
  </si>
  <si>
    <t>Harcharic</t>
  </si>
  <si>
    <t>Batrice</t>
  </si>
  <si>
    <t>Jackson</t>
  </si>
  <si>
    <t>Debbie</t>
  </si>
  <si>
    <t>Kravitz</t>
  </si>
  <si>
    <t>Alternative Services Interventionist</t>
  </si>
  <si>
    <t>Whitney</t>
  </si>
  <si>
    <t>Lee</t>
  </si>
  <si>
    <t>Craig</t>
  </si>
  <si>
    <t>Maxwell</t>
  </si>
  <si>
    <t>2113, 3511</t>
  </si>
  <si>
    <t>Social Worker</t>
  </si>
  <si>
    <t>Kaylene</t>
  </si>
  <si>
    <t>Portell</t>
  </si>
  <si>
    <t>Tonja</t>
  </si>
  <si>
    <t>Robinson</t>
  </si>
  <si>
    <t>Lesa</t>
  </si>
  <si>
    <t>Thomas</t>
  </si>
  <si>
    <t>Naomi</t>
  </si>
  <si>
    <t>Warren</t>
  </si>
  <si>
    <t>Kathryn</t>
  </si>
  <si>
    <t>Whitehouse</t>
  </si>
  <si>
    <t>Alternative Education Intervention Services</t>
  </si>
  <si>
    <t>Travis</t>
  </si>
  <si>
    <t>Williams</t>
  </si>
  <si>
    <t>SUB TOTALS:</t>
  </si>
  <si>
    <t>REPLACEMENTS/SUPPORT PERSONNEL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</si>
</sst>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4.0"/>
      <color rgb="FFFF0000"/>
      <name val="Arial"/>
    </font>
    <font>
      <sz val="12.0"/>
      <color theme="1"/>
      <name val="Arial"/>
    </font>
    <font>
      <color theme="1"/>
      <name val="Arial"/>
      <scheme val="minor"/>
    </font>
    <font>
      <sz val="12.0"/>
      <color rgb="FF333333"/>
      <name val="Arial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1C840"/>
        <bgColor rgb="FF81C840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2" fontId="1" numFmtId="164" xfId="0" applyAlignment="1" applyBorder="1" applyFill="1" applyFont="1" applyNumberFormat="1">
      <alignment horizontal="center" shrinkToFit="0" vertical="bottom" wrapText="0"/>
    </xf>
    <xf borderId="2" fillId="0" fontId="2" numFmtId="0" xfId="0" applyBorder="1" applyFont="1"/>
    <xf borderId="0" fillId="0" fontId="1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3" fillId="3" fontId="4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3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left" shrinkToFit="0" vertical="bottom" wrapText="0"/>
    </xf>
    <xf borderId="3" fillId="0" fontId="4" numFmtId="164" xfId="0" applyAlignment="1" applyBorder="1" applyFont="1" applyNumberFormat="1">
      <alignment horizontal="center" readingOrder="0" shrinkToFit="0" vertical="bottom" wrapText="0"/>
    </xf>
    <xf borderId="3" fillId="0" fontId="4" numFmtId="10" xfId="0" applyAlignment="1" applyBorder="1" applyFont="1" applyNumberFormat="1">
      <alignment horizontal="center" shrinkToFit="0" vertical="bottom" wrapText="0"/>
    </xf>
    <xf borderId="3" fillId="0" fontId="4" numFmtId="164" xfId="0" applyAlignment="1" applyBorder="1" applyFont="1" applyNumberFormat="1">
      <alignment horizontal="center" shrinkToFit="0" vertical="bottom" wrapText="0"/>
    </xf>
    <xf borderId="3" fillId="0" fontId="6" numFmtId="0" xfId="0" applyAlignment="1" applyBorder="1" applyFont="1">
      <alignment horizontal="center" vertical="bottom"/>
    </xf>
    <xf borderId="4" fillId="4" fontId="7" numFmtId="164" xfId="0" applyAlignment="1" applyBorder="1" applyFill="1" applyFont="1" applyNumberFormat="1">
      <alignment shrinkToFit="0" vertical="bottom" wrapText="0"/>
    </xf>
    <xf borderId="4" fillId="4" fontId="7" numFmtId="164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8.75"/>
    <col customWidth="1" min="3" max="4" width="14.75"/>
    <col customWidth="1" min="5" max="5" width="32.75"/>
    <col customWidth="1" min="6" max="6" width="10.75"/>
    <col customWidth="1" min="7" max="7" width="17.13"/>
    <col customWidth="1" min="8" max="8" width="20.38"/>
    <col customWidth="1" min="9" max="9" width="19.75"/>
    <col customWidth="1" min="10" max="11" width="12.0"/>
    <col customWidth="1" min="12" max="12" width="20.75"/>
    <col customWidth="1" min="13" max="13" width="16.75"/>
    <col customWidth="1" min="14" max="15" width="12.0"/>
    <col customWidth="1" min="16" max="18" width="20.75"/>
    <col customWidth="1" min="19" max="19" width="26.38"/>
    <col customWidth="1" min="20" max="26" width="8.0"/>
  </cols>
  <sheetData>
    <row r="1" ht="12.75" customHeight="1">
      <c r="B1" s="1" t="s">
        <v>0</v>
      </c>
      <c r="E1" s="2" t="s">
        <v>1</v>
      </c>
      <c r="I1" s="2" t="s">
        <v>2</v>
      </c>
      <c r="M1" s="3">
        <f>SUMIF(D10:D27,"1",L10:L27)+SUMIF(D33:D50,"1",L33:L50)</f>
        <v>0</v>
      </c>
      <c r="N1" s="4"/>
    </row>
    <row r="2" ht="12.75" customHeight="1">
      <c r="B2" s="1" t="s">
        <v>3</v>
      </c>
      <c r="E2" s="2" t="s">
        <v>4</v>
      </c>
      <c r="I2" s="2" t="s">
        <v>5</v>
      </c>
      <c r="M2" s="3">
        <f>SUMIF(D10:D27,"1",P10:P27)+SUMIF(D33:D50,"1",P33:P50)</f>
        <v>0</v>
      </c>
      <c r="N2" s="4"/>
    </row>
    <row r="3" ht="12.75" customHeight="1"/>
    <row r="4" ht="12.75" customHeight="1">
      <c r="I4" s="2" t="s">
        <v>6</v>
      </c>
      <c r="M4" s="3">
        <f>SUMIF(D10:D27,"2",L10:L27)+SUMIF(D33:D50,"2",L33:L50)</f>
        <v>238980.28</v>
      </c>
      <c r="N4" s="4"/>
    </row>
    <row r="5" ht="12.75" customHeight="1">
      <c r="I5" s="2" t="s">
        <v>7</v>
      </c>
      <c r="M5" s="3">
        <f>SUMIF(D10:D27,"2",P10:P27)+SUMIF(D33:D50,"2",P33:P50)</f>
        <v>71873.83</v>
      </c>
      <c r="N5" s="4"/>
    </row>
    <row r="6" ht="12.75" customHeight="1"/>
    <row r="7" ht="12.75" customHeight="1">
      <c r="B7" s="5" t="s">
        <v>8</v>
      </c>
    </row>
    <row r="8" ht="12.75" customHeight="1">
      <c r="B8" s="6" t="s">
        <v>9</v>
      </c>
    </row>
    <row r="9" ht="12.75" customHeight="1">
      <c r="B9" s="7" t="s">
        <v>10</v>
      </c>
      <c r="C9" s="7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7" t="s">
        <v>17</v>
      </c>
      <c r="J9" s="8" t="s">
        <v>18</v>
      </c>
      <c r="K9" s="7" t="s">
        <v>19</v>
      </c>
      <c r="L9" s="8" t="s">
        <v>20</v>
      </c>
      <c r="M9" s="7" t="s">
        <v>21</v>
      </c>
      <c r="N9" s="8" t="s">
        <v>18</v>
      </c>
      <c r="O9" s="7" t="s">
        <v>19</v>
      </c>
      <c r="P9" s="8" t="s">
        <v>22</v>
      </c>
      <c r="Q9" s="8" t="s">
        <v>23</v>
      </c>
      <c r="R9" s="8" t="s">
        <v>24</v>
      </c>
      <c r="S9" s="7" t="s">
        <v>25</v>
      </c>
    </row>
    <row r="10" ht="12.75" customHeight="1">
      <c r="A10" s="9">
        <v>1.0</v>
      </c>
      <c r="B10" s="10">
        <v>1.0</v>
      </c>
      <c r="C10" s="10">
        <v>2122.0</v>
      </c>
      <c r="D10" s="11">
        <v>2.0</v>
      </c>
      <c r="E10" s="12" t="s">
        <v>26</v>
      </c>
      <c r="F10" s="12"/>
      <c r="G10" s="12" t="s">
        <v>27</v>
      </c>
      <c r="H10" s="12" t="s">
        <v>28</v>
      </c>
      <c r="I10" s="13">
        <v>10767.63</v>
      </c>
      <c r="J10" s="14">
        <f t="shared" ref="J10:J27" si="1">1-ROUND(K10,4)</f>
        <v>0</v>
      </c>
      <c r="K10" s="14">
        <v>1.0</v>
      </c>
      <c r="L10" s="15">
        <f t="shared" ref="L10:L27" si="2">I10*ROUND(K10,4)</f>
        <v>10767.63</v>
      </c>
      <c r="M10" s="15">
        <f>55+1440.5+146.36+37.71+4.41+1783.62</f>
        <v>3467.6</v>
      </c>
      <c r="N10" s="14">
        <f t="shared" ref="N10:N27" si="3">1-ROUND(O10,4)</f>
        <v>0</v>
      </c>
      <c r="O10" s="14">
        <v>1.0</v>
      </c>
      <c r="P10" s="15">
        <f t="shared" ref="P10:P27" si="4">M10*ROUND(O10,4)</f>
        <v>3467.6</v>
      </c>
      <c r="Q10" s="15">
        <f t="shared" ref="Q10:Q28" si="5">L10+P10</f>
        <v>14235.23</v>
      </c>
      <c r="R10" s="11" t="s">
        <v>29</v>
      </c>
      <c r="S10" s="11"/>
    </row>
    <row r="11" ht="12.75" customHeight="1">
      <c r="A11" s="9">
        <v>2.0</v>
      </c>
      <c r="B11" s="10">
        <v>1.0</v>
      </c>
      <c r="C11" s="10">
        <v>2122.0</v>
      </c>
      <c r="D11" s="11">
        <v>2.0</v>
      </c>
      <c r="E11" s="12" t="s">
        <v>26</v>
      </c>
      <c r="F11" s="12"/>
      <c r="G11" s="12" t="s">
        <v>30</v>
      </c>
      <c r="H11" s="12" t="s">
        <v>31</v>
      </c>
      <c r="I11" s="13">
        <v>9993.24</v>
      </c>
      <c r="J11" s="14">
        <f t="shared" si="1"/>
        <v>0</v>
      </c>
      <c r="K11" s="14">
        <v>1.0</v>
      </c>
      <c r="L11" s="15">
        <f t="shared" si="2"/>
        <v>9993.24</v>
      </c>
      <c r="M11" s="15">
        <f>1014+37.71+426.5+4.08+119.44+1663.35</f>
        <v>3265.08</v>
      </c>
      <c r="N11" s="14">
        <f t="shared" si="3"/>
        <v>0</v>
      </c>
      <c r="O11" s="14">
        <v>1.0</v>
      </c>
      <c r="P11" s="15">
        <f t="shared" si="4"/>
        <v>3265.08</v>
      </c>
      <c r="Q11" s="15">
        <f t="shared" si="5"/>
        <v>13258.32</v>
      </c>
      <c r="R11" s="11" t="s">
        <v>29</v>
      </c>
      <c r="S11" s="11"/>
    </row>
    <row r="12" ht="12.75" customHeight="1">
      <c r="A12" s="9">
        <v>3.0</v>
      </c>
      <c r="B12" s="10">
        <v>1.0</v>
      </c>
      <c r="C12" s="10">
        <v>2134.0</v>
      </c>
      <c r="D12" s="11">
        <v>2.0</v>
      </c>
      <c r="E12" s="12" t="s">
        <v>32</v>
      </c>
      <c r="F12" s="12"/>
      <c r="G12" s="12" t="s">
        <v>33</v>
      </c>
      <c r="H12" s="12" t="s">
        <v>34</v>
      </c>
      <c r="I12" s="13">
        <v>6696.0</v>
      </c>
      <c r="J12" s="14">
        <f t="shared" si="1"/>
        <v>0</v>
      </c>
      <c r="K12" s="14">
        <v>1.0</v>
      </c>
      <c r="L12" s="15">
        <f t="shared" si="2"/>
        <v>6696</v>
      </c>
      <c r="M12" s="15">
        <f>37.71+1440.5+2.83+96.93+560.75+414.49</f>
        <v>2553.21</v>
      </c>
      <c r="N12" s="14">
        <f t="shared" si="3"/>
        <v>0</v>
      </c>
      <c r="O12" s="14">
        <v>1.0</v>
      </c>
      <c r="P12" s="15">
        <f t="shared" si="4"/>
        <v>2553.21</v>
      </c>
      <c r="Q12" s="15">
        <f t="shared" si="5"/>
        <v>9249.21</v>
      </c>
      <c r="R12" s="11" t="s">
        <v>29</v>
      </c>
      <c r="S12" s="11"/>
    </row>
    <row r="13" ht="12.75" customHeight="1">
      <c r="A13" s="9">
        <v>4.0</v>
      </c>
      <c r="B13" s="10">
        <v>1.0</v>
      </c>
      <c r="C13" s="10">
        <v>2411.0</v>
      </c>
      <c r="D13" s="11">
        <v>2.0</v>
      </c>
      <c r="E13" s="12" t="s">
        <v>35</v>
      </c>
      <c r="F13" s="12"/>
      <c r="G13" s="12" t="s">
        <v>36</v>
      </c>
      <c r="H13" s="12" t="s">
        <v>37</v>
      </c>
      <c r="I13" s="13">
        <v>26530.98</v>
      </c>
      <c r="J13" s="14">
        <f t="shared" si="1"/>
        <v>0</v>
      </c>
      <c r="K13" s="14">
        <v>1.0</v>
      </c>
      <c r="L13" s="15">
        <f t="shared" si="2"/>
        <v>26530.98</v>
      </c>
      <c r="M13" s="15">
        <f>74.22+2720+10.9+343.98+4252.14</f>
        <v>7401.24</v>
      </c>
      <c r="N13" s="14">
        <f t="shared" si="3"/>
        <v>0</v>
      </c>
      <c r="O13" s="14">
        <v>1.0</v>
      </c>
      <c r="P13" s="15">
        <f t="shared" si="4"/>
        <v>7401.24</v>
      </c>
      <c r="Q13" s="15">
        <f t="shared" si="5"/>
        <v>33932.22</v>
      </c>
      <c r="R13" s="11" t="s">
        <v>29</v>
      </c>
      <c r="S13" s="11"/>
    </row>
    <row r="14" ht="12.75" customHeight="1">
      <c r="A14" s="9">
        <v>5.0</v>
      </c>
      <c r="B14" s="10">
        <v>1.0</v>
      </c>
      <c r="C14" s="10">
        <v>2122.0</v>
      </c>
      <c r="D14" s="11">
        <v>2.0</v>
      </c>
      <c r="E14" s="12" t="s">
        <v>38</v>
      </c>
      <c r="F14" s="12"/>
      <c r="G14" s="12" t="s">
        <v>39</v>
      </c>
      <c r="H14" s="12" t="s">
        <v>40</v>
      </c>
      <c r="I14" s="13">
        <v>31258.02</v>
      </c>
      <c r="J14" s="14">
        <f t="shared" si="1"/>
        <v>0</v>
      </c>
      <c r="K14" s="14">
        <v>1.0</v>
      </c>
      <c r="L14" s="15">
        <f t="shared" si="2"/>
        <v>31258.02</v>
      </c>
      <c r="M14" s="15">
        <f>74.22+2720+12.9+451.8+2336+1931.94</f>
        <v>7526.86</v>
      </c>
      <c r="N14" s="14">
        <f t="shared" si="3"/>
        <v>0</v>
      </c>
      <c r="O14" s="14">
        <v>1.0</v>
      </c>
      <c r="P14" s="15">
        <f t="shared" si="4"/>
        <v>7526.86</v>
      </c>
      <c r="Q14" s="15">
        <f t="shared" si="5"/>
        <v>38784.88</v>
      </c>
      <c r="R14" s="11" t="s">
        <v>29</v>
      </c>
      <c r="S14" s="11"/>
    </row>
    <row r="15" ht="12.75" customHeight="1">
      <c r="A15" s="9">
        <v>6.0</v>
      </c>
      <c r="B15" s="10">
        <v>1.0</v>
      </c>
      <c r="C15" s="10">
        <v>1193.0</v>
      </c>
      <c r="D15" s="11">
        <v>2.0</v>
      </c>
      <c r="E15" s="12" t="s">
        <v>41</v>
      </c>
      <c r="F15" s="12"/>
      <c r="G15" s="12" t="s">
        <v>42</v>
      </c>
      <c r="H15" s="12" t="s">
        <v>43</v>
      </c>
      <c r="I15" s="13">
        <v>18942.52</v>
      </c>
      <c r="J15" s="14">
        <f t="shared" si="1"/>
        <v>0</v>
      </c>
      <c r="K15" s="14">
        <v>1.0</v>
      </c>
      <c r="L15" s="15">
        <f t="shared" si="2"/>
        <v>18942.52</v>
      </c>
      <c r="M15" s="15">
        <f>50.48+1947.5+7.56+272.3+3036.36</f>
        <v>5314.2</v>
      </c>
      <c r="N15" s="14">
        <f t="shared" si="3"/>
        <v>0</v>
      </c>
      <c r="O15" s="14">
        <v>1.0</v>
      </c>
      <c r="P15" s="15">
        <f t="shared" si="4"/>
        <v>5314.2</v>
      </c>
      <c r="Q15" s="15">
        <f t="shared" si="5"/>
        <v>24256.72</v>
      </c>
      <c r="R15" s="11" t="s">
        <v>29</v>
      </c>
      <c r="S15" s="11"/>
    </row>
    <row r="16" ht="12.75" customHeight="1">
      <c r="A16" s="9">
        <v>7.0</v>
      </c>
      <c r="B16" s="10">
        <v>1.0</v>
      </c>
      <c r="C16" s="10">
        <v>2134.0</v>
      </c>
      <c r="D16" s="11">
        <v>2.0</v>
      </c>
      <c r="E16" s="12" t="s">
        <v>32</v>
      </c>
      <c r="F16" s="12"/>
      <c r="G16" s="12" t="s">
        <v>44</v>
      </c>
      <c r="H16" s="12" t="s">
        <v>45</v>
      </c>
      <c r="I16" s="13">
        <v>7196.01</v>
      </c>
      <c r="J16" s="14">
        <f t="shared" si="1"/>
        <v>0</v>
      </c>
      <c r="K16" s="14">
        <v>1.0</v>
      </c>
      <c r="L16" s="15">
        <f t="shared" si="2"/>
        <v>7196.01</v>
      </c>
      <c r="M16" s="15">
        <f>37.71+1440.5+3.04+83.6+595.04+357.45</f>
        <v>2517.34</v>
      </c>
      <c r="N16" s="14">
        <f t="shared" si="3"/>
        <v>0</v>
      </c>
      <c r="O16" s="14">
        <v>1.0</v>
      </c>
      <c r="P16" s="15">
        <f t="shared" si="4"/>
        <v>2517.34</v>
      </c>
      <c r="Q16" s="15">
        <f t="shared" si="5"/>
        <v>9713.35</v>
      </c>
      <c r="R16" s="11" t="s">
        <v>29</v>
      </c>
      <c r="S16" s="11"/>
    </row>
    <row r="17" ht="12.75" customHeight="1">
      <c r="A17" s="9">
        <v>8.0</v>
      </c>
      <c r="B17" s="10">
        <v>1.0</v>
      </c>
      <c r="C17" s="10">
        <v>2122.0</v>
      </c>
      <c r="D17" s="11">
        <v>2.0</v>
      </c>
      <c r="E17" s="12" t="s">
        <v>26</v>
      </c>
      <c r="F17" s="12"/>
      <c r="G17" s="12" t="s">
        <v>46</v>
      </c>
      <c r="H17" s="12" t="s">
        <v>47</v>
      </c>
      <c r="I17" s="13">
        <v>12948.51</v>
      </c>
      <c r="J17" s="14">
        <f t="shared" si="1"/>
        <v>0</v>
      </c>
      <c r="K17" s="14">
        <v>1.0</v>
      </c>
      <c r="L17" s="15">
        <f t="shared" si="2"/>
        <v>12948.51</v>
      </c>
      <c r="M17" s="15">
        <f>883+426.5+182.75+131+37.71+5.29+2091.87</f>
        <v>3758.12</v>
      </c>
      <c r="N17" s="14">
        <f t="shared" si="3"/>
        <v>0</v>
      </c>
      <c r="O17" s="14">
        <v>1.0</v>
      </c>
      <c r="P17" s="15">
        <f t="shared" si="4"/>
        <v>3758.12</v>
      </c>
      <c r="Q17" s="15">
        <f t="shared" si="5"/>
        <v>16706.63</v>
      </c>
      <c r="R17" s="11" t="s">
        <v>29</v>
      </c>
      <c r="S17" s="11"/>
    </row>
    <row r="18" ht="12.75" customHeight="1">
      <c r="A18" s="9">
        <v>9.0</v>
      </c>
      <c r="B18" s="10">
        <v>1.0</v>
      </c>
      <c r="C18" s="10">
        <v>2122.0</v>
      </c>
      <c r="D18" s="11">
        <v>2.0</v>
      </c>
      <c r="E18" s="12" t="s">
        <v>26</v>
      </c>
      <c r="F18" s="12"/>
      <c r="G18" s="12" t="s">
        <v>48</v>
      </c>
      <c r="H18" s="12" t="s">
        <v>49</v>
      </c>
      <c r="I18" s="13">
        <v>10199.01</v>
      </c>
      <c r="J18" s="14">
        <f t="shared" si="1"/>
        <v>0</v>
      </c>
      <c r="K18" s="14">
        <v>1.0</v>
      </c>
      <c r="L18" s="15">
        <f t="shared" si="2"/>
        <v>10199.01</v>
      </c>
      <c r="M18" s="15">
        <f>37.71+4.18+1985.91+1440.5+177-29.27-138.48</f>
        <v>3477.55</v>
      </c>
      <c r="N18" s="14">
        <f t="shared" si="3"/>
        <v>0</v>
      </c>
      <c r="O18" s="14">
        <v>1.0</v>
      </c>
      <c r="P18" s="15">
        <f t="shared" si="4"/>
        <v>3477.55</v>
      </c>
      <c r="Q18" s="15">
        <f t="shared" si="5"/>
        <v>13676.56</v>
      </c>
      <c r="R18" s="11" t="s">
        <v>29</v>
      </c>
      <c r="S18" s="11"/>
    </row>
    <row r="19" ht="12.75" customHeight="1">
      <c r="A19" s="9">
        <v>10.0</v>
      </c>
      <c r="B19" s="10">
        <v>1.0</v>
      </c>
      <c r="C19" s="10">
        <v>2122.0</v>
      </c>
      <c r="D19" s="11">
        <v>2.0</v>
      </c>
      <c r="E19" s="12" t="s">
        <v>26</v>
      </c>
      <c r="F19" s="12"/>
      <c r="G19" s="12" t="s">
        <v>50</v>
      </c>
      <c r="H19" s="12" t="s">
        <v>51</v>
      </c>
      <c r="I19" s="13">
        <v>11616.99</v>
      </c>
      <c r="J19" s="14">
        <f t="shared" si="1"/>
        <v>0</v>
      </c>
      <c r="K19" s="14">
        <v>1.0</v>
      </c>
      <c r="L19" s="15">
        <f t="shared" si="2"/>
        <v>11616.99</v>
      </c>
      <c r="M19" s="15">
        <f>1254.5+4.73+1900.26+37.71+147.54+196</f>
        <v>3540.74</v>
      </c>
      <c r="N19" s="14">
        <f t="shared" si="3"/>
        <v>0</v>
      </c>
      <c r="O19" s="14">
        <v>1.0</v>
      </c>
      <c r="P19" s="15">
        <f t="shared" si="4"/>
        <v>3540.74</v>
      </c>
      <c r="Q19" s="15">
        <f t="shared" si="5"/>
        <v>15157.73</v>
      </c>
      <c r="R19" s="11" t="s">
        <v>29</v>
      </c>
      <c r="S19" s="11"/>
    </row>
    <row r="20" ht="12.75" customHeight="1">
      <c r="A20" s="9">
        <v>11.0</v>
      </c>
      <c r="B20" s="10">
        <v>1.0</v>
      </c>
      <c r="C20" s="10">
        <v>1193.0</v>
      </c>
      <c r="D20" s="11">
        <v>2.0</v>
      </c>
      <c r="E20" s="12" t="s">
        <v>52</v>
      </c>
      <c r="F20" s="12"/>
      <c r="G20" s="12" t="s">
        <v>53</v>
      </c>
      <c r="H20" s="12" t="s">
        <v>54</v>
      </c>
      <c r="I20" s="13">
        <v>9212.13</v>
      </c>
      <c r="J20" s="14">
        <f t="shared" si="1"/>
        <v>0</v>
      </c>
      <c r="K20" s="14">
        <v>1.0</v>
      </c>
      <c r="L20" s="15">
        <f t="shared" si="2"/>
        <v>9212.13</v>
      </c>
      <c r="M20" s="15">
        <f>37.71+3.77+1550.1+1440.5+124.14</f>
        <v>3156.22</v>
      </c>
      <c r="N20" s="14">
        <f t="shared" si="3"/>
        <v>0</v>
      </c>
      <c r="O20" s="14">
        <v>1.0</v>
      </c>
      <c r="P20" s="15">
        <f t="shared" si="4"/>
        <v>3156.22</v>
      </c>
      <c r="Q20" s="15">
        <f t="shared" si="5"/>
        <v>12368.35</v>
      </c>
      <c r="R20" s="11" t="s">
        <v>29</v>
      </c>
      <c r="S20" s="11"/>
    </row>
    <row r="21" ht="12.75" customHeight="1">
      <c r="A21" s="9">
        <v>12.0</v>
      </c>
      <c r="B21" s="10">
        <v>1.0</v>
      </c>
      <c r="C21" s="10">
        <v>2411.0</v>
      </c>
      <c r="D21" s="11">
        <v>2.0</v>
      </c>
      <c r="E21" s="12" t="s">
        <v>35</v>
      </c>
      <c r="F21" s="12"/>
      <c r="G21" s="12" t="s">
        <v>55</v>
      </c>
      <c r="H21" s="12" t="s">
        <v>56</v>
      </c>
      <c r="I21" s="13">
        <v>26742.48</v>
      </c>
      <c r="J21" s="14">
        <f t="shared" si="1"/>
        <v>0</v>
      </c>
      <c r="K21" s="14">
        <v>1.0</v>
      </c>
      <c r="L21" s="15">
        <f t="shared" si="2"/>
        <v>26742.48</v>
      </c>
      <c r="M21" s="15">
        <f>2245+475+74.22+11.1+380.46+4639.5-35.67-356.7</f>
        <v>7432.91</v>
      </c>
      <c r="N21" s="14">
        <f t="shared" si="3"/>
        <v>0</v>
      </c>
      <c r="O21" s="14">
        <v>1.0</v>
      </c>
      <c r="P21" s="15">
        <f t="shared" si="4"/>
        <v>7432.91</v>
      </c>
      <c r="Q21" s="15">
        <f t="shared" si="5"/>
        <v>34175.39</v>
      </c>
      <c r="R21" s="11" t="s">
        <v>29</v>
      </c>
      <c r="S21" s="11"/>
    </row>
    <row r="22" ht="12.75" customHeight="1">
      <c r="A22" s="9">
        <v>13.0</v>
      </c>
      <c r="B22" s="10">
        <v>1.0</v>
      </c>
      <c r="C22" s="16" t="s">
        <v>57</v>
      </c>
      <c r="D22" s="11">
        <v>2.0</v>
      </c>
      <c r="E22" s="12" t="s">
        <v>58</v>
      </c>
      <c r="F22" s="12"/>
      <c r="G22" s="12" t="s">
        <v>59</v>
      </c>
      <c r="H22" s="12" t="s">
        <v>60</v>
      </c>
      <c r="I22" s="13">
        <v>7618.74</v>
      </c>
      <c r="J22" s="14">
        <f t="shared" si="1"/>
        <v>0</v>
      </c>
      <c r="K22" s="14">
        <v>1.0</v>
      </c>
      <c r="L22" s="15">
        <f t="shared" si="2"/>
        <v>7618.74</v>
      </c>
      <c r="M22" s="15">
        <f>837+177+37.71+426.5+3.1+109.02+624.05+466.15</f>
        <v>2680.53</v>
      </c>
      <c r="N22" s="14">
        <f t="shared" si="3"/>
        <v>0</v>
      </c>
      <c r="O22" s="14">
        <v>1.0</v>
      </c>
      <c r="P22" s="15">
        <f t="shared" si="4"/>
        <v>2680.53</v>
      </c>
      <c r="Q22" s="15">
        <f t="shared" si="5"/>
        <v>10299.27</v>
      </c>
      <c r="R22" s="11" t="s">
        <v>29</v>
      </c>
      <c r="S22" s="11"/>
    </row>
    <row r="23" ht="12.75" customHeight="1">
      <c r="A23" s="9">
        <v>14.0</v>
      </c>
      <c r="B23" s="10">
        <v>1.0</v>
      </c>
      <c r="C23" s="10">
        <v>2122.0</v>
      </c>
      <c r="D23" s="11">
        <v>2.0</v>
      </c>
      <c r="E23" s="12" t="s">
        <v>26</v>
      </c>
      <c r="F23" s="12"/>
      <c r="G23" s="12" t="s">
        <v>61</v>
      </c>
      <c r="H23" s="12" t="s">
        <v>62</v>
      </c>
      <c r="I23" s="13">
        <v>12671.01</v>
      </c>
      <c r="J23" s="14">
        <f t="shared" si="1"/>
        <v>0</v>
      </c>
      <c r="K23" s="14">
        <v>1.0</v>
      </c>
      <c r="L23" s="15">
        <f t="shared" si="2"/>
        <v>12671.01</v>
      </c>
      <c r="M23" s="15">
        <f>933.5+37.71+507+5.19+178.75+2051.64</f>
        <v>3713.79</v>
      </c>
      <c r="N23" s="14">
        <f t="shared" si="3"/>
        <v>0</v>
      </c>
      <c r="O23" s="14">
        <v>1.0</v>
      </c>
      <c r="P23" s="15">
        <f t="shared" si="4"/>
        <v>3713.79</v>
      </c>
      <c r="Q23" s="15">
        <f t="shared" si="5"/>
        <v>16384.8</v>
      </c>
      <c r="R23" s="11" t="s">
        <v>29</v>
      </c>
      <c r="S23" s="11"/>
    </row>
    <row r="24" ht="12.75" customHeight="1">
      <c r="A24" s="9">
        <v>15.0</v>
      </c>
      <c r="B24" s="10">
        <v>1.0</v>
      </c>
      <c r="C24" s="10">
        <v>2122.0</v>
      </c>
      <c r="D24" s="11">
        <v>2.0</v>
      </c>
      <c r="E24" s="12" t="s">
        <v>26</v>
      </c>
      <c r="F24" s="12"/>
      <c r="G24" s="12" t="s">
        <v>63</v>
      </c>
      <c r="H24" s="12" t="s">
        <v>64</v>
      </c>
      <c r="I24" s="13">
        <v>8264.76</v>
      </c>
      <c r="J24" s="14">
        <f t="shared" si="1"/>
        <v>0</v>
      </c>
      <c r="K24" s="14">
        <v>1.0</v>
      </c>
      <c r="L24" s="15">
        <f t="shared" si="2"/>
        <v>8264.76</v>
      </c>
      <c r="M24" s="15">
        <f>1254.5+37.71+3.39+118.29+1413.38+190.5</f>
        <v>3017.77</v>
      </c>
      <c r="N24" s="14">
        <f t="shared" si="3"/>
        <v>0</v>
      </c>
      <c r="O24" s="14">
        <v>1.0</v>
      </c>
      <c r="P24" s="15">
        <f t="shared" si="4"/>
        <v>3017.77</v>
      </c>
      <c r="Q24" s="15">
        <f t="shared" si="5"/>
        <v>11282.53</v>
      </c>
      <c r="R24" s="11" t="s">
        <v>29</v>
      </c>
      <c r="S24" s="11"/>
    </row>
    <row r="25" ht="12.75" customHeight="1">
      <c r="A25" s="9">
        <v>16.0</v>
      </c>
      <c r="B25" s="10">
        <v>1.0</v>
      </c>
      <c r="C25" s="10">
        <v>2113.0</v>
      </c>
      <c r="D25" s="11">
        <v>2.0</v>
      </c>
      <c r="E25" s="12" t="s">
        <v>58</v>
      </c>
      <c r="F25" s="12"/>
      <c r="G25" s="12" t="s">
        <v>65</v>
      </c>
      <c r="H25" s="12" t="s">
        <v>66</v>
      </c>
      <c r="I25" s="13">
        <v>11108.25</v>
      </c>
      <c r="J25" s="14">
        <f t="shared" si="1"/>
        <v>0</v>
      </c>
      <c r="K25" s="14">
        <v>1.0</v>
      </c>
      <c r="L25" s="15">
        <f t="shared" si="2"/>
        <v>11108.25</v>
      </c>
      <c r="M25" s="15">
        <f>37.71+1440.5+4.36+149.54+863.42+639.42</f>
        <v>3134.95</v>
      </c>
      <c r="N25" s="14">
        <f t="shared" si="3"/>
        <v>0</v>
      </c>
      <c r="O25" s="14">
        <v>1.0</v>
      </c>
      <c r="P25" s="15">
        <f t="shared" si="4"/>
        <v>3134.95</v>
      </c>
      <c r="Q25" s="15">
        <f t="shared" si="5"/>
        <v>14243.2</v>
      </c>
      <c r="R25" s="11" t="s">
        <v>29</v>
      </c>
      <c r="S25" s="11"/>
    </row>
    <row r="26" ht="12.75" customHeight="1">
      <c r="A26" s="9">
        <v>17.0</v>
      </c>
      <c r="B26" s="10">
        <v>1.0</v>
      </c>
      <c r="C26" s="10">
        <v>2134.0</v>
      </c>
      <c r="D26" s="11">
        <v>2.0</v>
      </c>
      <c r="E26" s="12" t="s">
        <v>32</v>
      </c>
      <c r="F26" s="12"/>
      <c r="G26" s="12" t="s">
        <v>67</v>
      </c>
      <c r="H26" s="12" t="s">
        <v>68</v>
      </c>
      <c r="I26" s="13">
        <v>6945.99</v>
      </c>
      <c r="J26" s="14">
        <f t="shared" si="1"/>
        <v>0</v>
      </c>
      <c r="K26" s="14">
        <v>1.0</v>
      </c>
      <c r="L26" s="15">
        <f t="shared" si="2"/>
        <v>6945.99</v>
      </c>
      <c r="M26" s="15">
        <f>37.71+1440.5+2.92+99+577.9+423.34</f>
        <v>2581.37</v>
      </c>
      <c r="N26" s="14">
        <f t="shared" si="3"/>
        <v>0</v>
      </c>
      <c r="O26" s="14">
        <v>1.0</v>
      </c>
      <c r="P26" s="15">
        <f t="shared" si="4"/>
        <v>2581.37</v>
      </c>
      <c r="Q26" s="15">
        <f t="shared" si="5"/>
        <v>9527.36</v>
      </c>
      <c r="R26" s="11" t="s">
        <v>29</v>
      </c>
      <c r="S26" s="11"/>
    </row>
    <row r="27" ht="12.75" customHeight="1">
      <c r="A27" s="9">
        <v>18.0</v>
      </c>
      <c r="B27" s="10">
        <v>1.0</v>
      </c>
      <c r="C27" s="10">
        <v>1193.0</v>
      </c>
      <c r="D27" s="11">
        <v>2.0</v>
      </c>
      <c r="E27" s="12" t="s">
        <v>69</v>
      </c>
      <c r="F27" s="12"/>
      <c r="G27" s="12" t="s">
        <v>70</v>
      </c>
      <c r="H27" s="12" t="s">
        <v>71</v>
      </c>
      <c r="I27" s="13">
        <v>10268.01</v>
      </c>
      <c r="J27" s="14">
        <f t="shared" si="1"/>
        <v>0</v>
      </c>
      <c r="K27" s="14">
        <v>1.0</v>
      </c>
      <c r="L27" s="15">
        <f t="shared" si="2"/>
        <v>10268.01</v>
      </c>
      <c r="M27" s="15">
        <f>37.71+1440.5+4.21+148.74+1703.19</f>
        <v>3334.35</v>
      </c>
      <c r="N27" s="14">
        <f t="shared" si="3"/>
        <v>0</v>
      </c>
      <c r="O27" s="14">
        <v>1.0</v>
      </c>
      <c r="P27" s="15">
        <f t="shared" si="4"/>
        <v>3334.35</v>
      </c>
      <c r="Q27" s="15">
        <f t="shared" si="5"/>
        <v>13602.36</v>
      </c>
      <c r="R27" s="11" t="s">
        <v>29</v>
      </c>
      <c r="S27" s="11"/>
    </row>
    <row r="28" ht="12.75" customHeight="1">
      <c r="B28" s="17" t="s">
        <v>72</v>
      </c>
      <c r="C28" s="17"/>
      <c r="D28" s="17"/>
      <c r="E28" s="17"/>
      <c r="F28" s="17"/>
      <c r="G28" s="17"/>
      <c r="H28" s="17"/>
      <c r="I28" s="17"/>
      <c r="J28" s="17"/>
      <c r="K28" s="17"/>
      <c r="L28" s="18">
        <f>SUM(L9:L27)</f>
        <v>238980.28</v>
      </c>
      <c r="M28" s="17"/>
      <c r="N28" s="17"/>
      <c r="O28" s="17"/>
      <c r="P28" s="18">
        <f>SUM(P9:P27)</f>
        <v>71873.83</v>
      </c>
      <c r="Q28" s="18">
        <f t="shared" si="5"/>
        <v>310854.11</v>
      </c>
      <c r="R28" s="17"/>
      <c r="S28" s="17"/>
    </row>
    <row r="29" ht="12.75" customHeight="1"/>
    <row r="30" ht="12.75" customHeight="1"/>
    <row r="31" ht="12.75" customHeight="1">
      <c r="B31" s="1" t="s">
        <v>73</v>
      </c>
    </row>
    <row r="32" ht="12.75" customHeight="1">
      <c r="B32" s="7" t="s">
        <v>10</v>
      </c>
      <c r="C32" s="7" t="s">
        <v>11</v>
      </c>
      <c r="D32" s="7" t="s">
        <v>12</v>
      </c>
      <c r="E32" s="7" t="s">
        <v>13</v>
      </c>
      <c r="F32" s="7" t="s">
        <v>14</v>
      </c>
      <c r="G32" s="7" t="s">
        <v>15</v>
      </c>
      <c r="H32" s="7" t="s">
        <v>16</v>
      </c>
      <c r="I32" s="7" t="s">
        <v>17</v>
      </c>
      <c r="J32" s="8" t="s">
        <v>18</v>
      </c>
      <c r="K32" s="7" t="s">
        <v>19</v>
      </c>
      <c r="L32" s="8" t="s">
        <v>20</v>
      </c>
      <c r="M32" s="7" t="s">
        <v>21</v>
      </c>
      <c r="N32" s="8" t="s">
        <v>18</v>
      </c>
      <c r="O32" s="7" t="s">
        <v>19</v>
      </c>
      <c r="P32" s="8" t="s">
        <v>22</v>
      </c>
      <c r="Q32" s="8" t="s">
        <v>23</v>
      </c>
      <c r="R32" s="7" t="s">
        <v>24</v>
      </c>
      <c r="S32" s="7" t="s">
        <v>25</v>
      </c>
    </row>
    <row r="33" ht="12.75" customHeight="1">
      <c r="A33" s="9">
        <v>1.0</v>
      </c>
      <c r="B33" s="11"/>
      <c r="C33" s="11"/>
      <c r="D33" s="11"/>
      <c r="E33" s="12"/>
      <c r="F33" s="12"/>
      <c r="G33" s="12"/>
      <c r="H33" s="12"/>
      <c r="I33" s="15"/>
      <c r="J33" s="14">
        <f t="shared" ref="J33:J50" si="6">1-ROUND(K33,4)</f>
        <v>0</v>
      </c>
      <c r="K33" s="14">
        <v>1.0</v>
      </c>
      <c r="L33" s="15">
        <f t="shared" ref="L33:L50" si="7">I33*ROUND(K33,4)</f>
        <v>0</v>
      </c>
      <c r="M33" s="15"/>
      <c r="N33" s="14">
        <f t="shared" ref="N33:N50" si="8">1-ROUND(O33,4)</f>
        <v>0</v>
      </c>
      <c r="O33" s="14">
        <v>1.0</v>
      </c>
      <c r="P33" s="15">
        <f t="shared" ref="P33:P50" si="9">M33*ROUND(O33,4)</f>
        <v>0</v>
      </c>
      <c r="Q33" s="15">
        <f t="shared" ref="Q33:Q51" si="10">L33+P33</f>
        <v>0</v>
      </c>
      <c r="R33" s="11" t="s">
        <v>29</v>
      </c>
      <c r="S33" s="11"/>
    </row>
    <row r="34" ht="12.75" customHeight="1">
      <c r="A34" s="9">
        <v>2.0</v>
      </c>
      <c r="B34" s="11"/>
      <c r="C34" s="11"/>
      <c r="D34" s="11"/>
      <c r="E34" s="12"/>
      <c r="F34" s="12"/>
      <c r="G34" s="12"/>
      <c r="H34" s="12"/>
      <c r="I34" s="15"/>
      <c r="J34" s="14">
        <f t="shared" si="6"/>
        <v>0</v>
      </c>
      <c r="K34" s="14">
        <v>1.0</v>
      </c>
      <c r="L34" s="15">
        <f t="shared" si="7"/>
        <v>0</v>
      </c>
      <c r="M34" s="15"/>
      <c r="N34" s="14">
        <f t="shared" si="8"/>
        <v>0</v>
      </c>
      <c r="O34" s="14">
        <v>1.0</v>
      </c>
      <c r="P34" s="15">
        <f t="shared" si="9"/>
        <v>0</v>
      </c>
      <c r="Q34" s="15">
        <f t="shared" si="10"/>
        <v>0</v>
      </c>
      <c r="R34" s="11" t="s">
        <v>29</v>
      </c>
      <c r="S34" s="11"/>
    </row>
    <row r="35" ht="12.75" customHeight="1">
      <c r="A35" s="9">
        <v>3.0</v>
      </c>
      <c r="B35" s="11"/>
      <c r="C35" s="11"/>
      <c r="D35" s="11"/>
      <c r="E35" s="12"/>
      <c r="F35" s="12"/>
      <c r="G35" s="12"/>
      <c r="H35" s="12"/>
      <c r="I35" s="15"/>
      <c r="J35" s="14">
        <f t="shared" si="6"/>
        <v>0</v>
      </c>
      <c r="K35" s="14">
        <v>1.0</v>
      </c>
      <c r="L35" s="15">
        <f t="shared" si="7"/>
        <v>0</v>
      </c>
      <c r="M35" s="15"/>
      <c r="N35" s="14">
        <f t="shared" si="8"/>
        <v>0</v>
      </c>
      <c r="O35" s="14">
        <v>1.0</v>
      </c>
      <c r="P35" s="15">
        <f t="shared" si="9"/>
        <v>0</v>
      </c>
      <c r="Q35" s="15">
        <f t="shared" si="10"/>
        <v>0</v>
      </c>
      <c r="R35" s="11" t="s">
        <v>29</v>
      </c>
      <c r="S35" s="11"/>
    </row>
    <row r="36" ht="12.75" customHeight="1">
      <c r="A36" s="9">
        <v>4.0</v>
      </c>
      <c r="B36" s="11"/>
      <c r="C36" s="11"/>
      <c r="D36" s="11"/>
      <c r="E36" s="12"/>
      <c r="F36" s="12"/>
      <c r="G36" s="12"/>
      <c r="H36" s="12"/>
      <c r="I36" s="15"/>
      <c r="J36" s="14">
        <f t="shared" si="6"/>
        <v>0</v>
      </c>
      <c r="K36" s="14">
        <v>1.0</v>
      </c>
      <c r="L36" s="15">
        <f t="shared" si="7"/>
        <v>0</v>
      </c>
      <c r="M36" s="15"/>
      <c r="N36" s="14">
        <f t="shared" si="8"/>
        <v>0</v>
      </c>
      <c r="O36" s="14">
        <v>1.0</v>
      </c>
      <c r="P36" s="15">
        <f t="shared" si="9"/>
        <v>0</v>
      </c>
      <c r="Q36" s="15">
        <f t="shared" si="10"/>
        <v>0</v>
      </c>
      <c r="R36" s="11" t="s">
        <v>29</v>
      </c>
      <c r="S36" s="11"/>
    </row>
    <row r="37" ht="12.75" customHeight="1">
      <c r="A37" s="9">
        <v>5.0</v>
      </c>
      <c r="B37" s="11"/>
      <c r="C37" s="11"/>
      <c r="D37" s="11"/>
      <c r="E37" s="12"/>
      <c r="F37" s="12"/>
      <c r="G37" s="12"/>
      <c r="H37" s="12"/>
      <c r="I37" s="15"/>
      <c r="J37" s="14">
        <f t="shared" si="6"/>
        <v>0</v>
      </c>
      <c r="K37" s="14">
        <v>1.0</v>
      </c>
      <c r="L37" s="15">
        <f t="shared" si="7"/>
        <v>0</v>
      </c>
      <c r="M37" s="15"/>
      <c r="N37" s="14">
        <f t="shared" si="8"/>
        <v>0</v>
      </c>
      <c r="O37" s="14">
        <v>1.0</v>
      </c>
      <c r="P37" s="15">
        <f t="shared" si="9"/>
        <v>0</v>
      </c>
      <c r="Q37" s="15">
        <f t="shared" si="10"/>
        <v>0</v>
      </c>
      <c r="R37" s="11" t="s">
        <v>29</v>
      </c>
      <c r="S37" s="11"/>
    </row>
    <row r="38" ht="12.75" customHeight="1">
      <c r="A38" s="9">
        <v>6.0</v>
      </c>
      <c r="B38" s="11"/>
      <c r="C38" s="11"/>
      <c r="D38" s="11"/>
      <c r="E38" s="12"/>
      <c r="F38" s="12"/>
      <c r="G38" s="12"/>
      <c r="H38" s="12"/>
      <c r="I38" s="15"/>
      <c r="J38" s="14">
        <f t="shared" si="6"/>
        <v>0</v>
      </c>
      <c r="K38" s="14">
        <v>1.0</v>
      </c>
      <c r="L38" s="15">
        <f t="shared" si="7"/>
        <v>0</v>
      </c>
      <c r="M38" s="15"/>
      <c r="N38" s="14">
        <f t="shared" si="8"/>
        <v>0</v>
      </c>
      <c r="O38" s="14">
        <v>1.0</v>
      </c>
      <c r="P38" s="15">
        <f t="shared" si="9"/>
        <v>0</v>
      </c>
      <c r="Q38" s="15">
        <f t="shared" si="10"/>
        <v>0</v>
      </c>
      <c r="R38" s="11" t="s">
        <v>29</v>
      </c>
      <c r="S38" s="11"/>
    </row>
    <row r="39" ht="12.75" customHeight="1">
      <c r="A39" s="9">
        <v>7.0</v>
      </c>
      <c r="B39" s="11"/>
      <c r="C39" s="11"/>
      <c r="D39" s="11"/>
      <c r="E39" s="12"/>
      <c r="F39" s="12"/>
      <c r="G39" s="12"/>
      <c r="H39" s="12"/>
      <c r="I39" s="15"/>
      <c r="J39" s="14">
        <f t="shared" si="6"/>
        <v>0</v>
      </c>
      <c r="K39" s="14">
        <v>1.0</v>
      </c>
      <c r="L39" s="15">
        <f t="shared" si="7"/>
        <v>0</v>
      </c>
      <c r="M39" s="15"/>
      <c r="N39" s="14">
        <f t="shared" si="8"/>
        <v>0</v>
      </c>
      <c r="O39" s="14">
        <v>1.0</v>
      </c>
      <c r="P39" s="15">
        <f t="shared" si="9"/>
        <v>0</v>
      </c>
      <c r="Q39" s="15">
        <f t="shared" si="10"/>
        <v>0</v>
      </c>
      <c r="R39" s="11" t="s">
        <v>29</v>
      </c>
      <c r="S39" s="11"/>
    </row>
    <row r="40" ht="12.75" customHeight="1">
      <c r="A40" s="9">
        <v>8.0</v>
      </c>
      <c r="B40" s="11"/>
      <c r="C40" s="11"/>
      <c r="D40" s="11"/>
      <c r="E40" s="12"/>
      <c r="F40" s="12"/>
      <c r="G40" s="12"/>
      <c r="H40" s="12"/>
      <c r="I40" s="15"/>
      <c r="J40" s="14">
        <f t="shared" si="6"/>
        <v>0</v>
      </c>
      <c r="K40" s="14">
        <v>1.0</v>
      </c>
      <c r="L40" s="15">
        <f t="shared" si="7"/>
        <v>0</v>
      </c>
      <c r="M40" s="15"/>
      <c r="N40" s="14">
        <f t="shared" si="8"/>
        <v>0</v>
      </c>
      <c r="O40" s="14">
        <v>1.0</v>
      </c>
      <c r="P40" s="15">
        <f t="shared" si="9"/>
        <v>0</v>
      </c>
      <c r="Q40" s="15">
        <f t="shared" si="10"/>
        <v>0</v>
      </c>
      <c r="R40" s="11" t="s">
        <v>29</v>
      </c>
      <c r="S40" s="11"/>
    </row>
    <row r="41" ht="12.75" customHeight="1">
      <c r="A41" s="9">
        <v>9.0</v>
      </c>
      <c r="B41" s="11"/>
      <c r="C41" s="11"/>
      <c r="D41" s="11"/>
      <c r="E41" s="12"/>
      <c r="F41" s="12"/>
      <c r="G41" s="12"/>
      <c r="H41" s="12"/>
      <c r="I41" s="15"/>
      <c r="J41" s="14">
        <f t="shared" si="6"/>
        <v>0</v>
      </c>
      <c r="K41" s="14">
        <v>1.0</v>
      </c>
      <c r="L41" s="15">
        <f t="shared" si="7"/>
        <v>0</v>
      </c>
      <c r="M41" s="15"/>
      <c r="N41" s="14">
        <f t="shared" si="8"/>
        <v>0</v>
      </c>
      <c r="O41" s="14">
        <v>1.0</v>
      </c>
      <c r="P41" s="15">
        <f t="shared" si="9"/>
        <v>0</v>
      </c>
      <c r="Q41" s="15">
        <f t="shared" si="10"/>
        <v>0</v>
      </c>
      <c r="R41" s="11" t="s">
        <v>29</v>
      </c>
      <c r="S41" s="11"/>
    </row>
    <row r="42" ht="12.75" customHeight="1">
      <c r="A42" s="9">
        <v>10.0</v>
      </c>
      <c r="B42" s="11"/>
      <c r="C42" s="11"/>
      <c r="D42" s="11"/>
      <c r="E42" s="12"/>
      <c r="F42" s="12"/>
      <c r="G42" s="12"/>
      <c r="H42" s="12"/>
      <c r="I42" s="15"/>
      <c r="J42" s="14">
        <f t="shared" si="6"/>
        <v>0</v>
      </c>
      <c r="K42" s="14">
        <v>1.0</v>
      </c>
      <c r="L42" s="15">
        <f t="shared" si="7"/>
        <v>0</v>
      </c>
      <c r="M42" s="15"/>
      <c r="N42" s="14">
        <f t="shared" si="8"/>
        <v>0</v>
      </c>
      <c r="O42" s="14">
        <v>1.0</v>
      </c>
      <c r="P42" s="15">
        <f t="shared" si="9"/>
        <v>0</v>
      </c>
      <c r="Q42" s="15">
        <f t="shared" si="10"/>
        <v>0</v>
      </c>
      <c r="R42" s="11" t="s">
        <v>29</v>
      </c>
      <c r="S42" s="11"/>
    </row>
    <row r="43" ht="12.75" customHeight="1">
      <c r="A43" s="9">
        <v>11.0</v>
      </c>
      <c r="B43" s="11"/>
      <c r="C43" s="11"/>
      <c r="D43" s="11"/>
      <c r="E43" s="12"/>
      <c r="F43" s="12"/>
      <c r="G43" s="12"/>
      <c r="H43" s="12"/>
      <c r="I43" s="15"/>
      <c r="J43" s="14">
        <f t="shared" si="6"/>
        <v>0</v>
      </c>
      <c r="K43" s="14">
        <v>1.0</v>
      </c>
      <c r="L43" s="15">
        <f t="shared" si="7"/>
        <v>0</v>
      </c>
      <c r="M43" s="15"/>
      <c r="N43" s="14">
        <f t="shared" si="8"/>
        <v>0</v>
      </c>
      <c r="O43" s="14">
        <v>1.0</v>
      </c>
      <c r="P43" s="15">
        <f t="shared" si="9"/>
        <v>0</v>
      </c>
      <c r="Q43" s="15">
        <f t="shared" si="10"/>
        <v>0</v>
      </c>
      <c r="R43" s="11" t="s">
        <v>29</v>
      </c>
      <c r="S43" s="11"/>
    </row>
    <row r="44" ht="12.75" customHeight="1">
      <c r="A44" s="9">
        <v>12.0</v>
      </c>
      <c r="B44" s="11"/>
      <c r="C44" s="11"/>
      <c r="D44" s="11"/>
      <c r="E44" s="12"/>
      <c r="F44" s="12"/>
      <c r="G44" s="12"/>
      <c r="H44" s="12"/>
      <c r="I44" s="15"/>
      <c r="J44" s="14">
        <f t="shared" si="6"/>
        <v>0</v>
      </c>
      <c r="K44" s="14">
        <v>1.0</v>
      </c>
      <c r="L44" s="15">
        <f t="shared" si="7"/>
        <v>0</v>
      </c>
      <c r="M44" s="15"/>
      <c r="N44" s="14">
        <f t="shared" si="8"/>
        <v>0</v>
      </c>
      <c r="O44" s="14">
        <v>1.0</v>
      </c>
      <c r="P44" s="15">
        <f t="shared" si="9"/>
        <v>0</v>
      </c>
      <c r="Q44" s="15">
        <f t="shared" si="10"/>
        <v>0</v>
      </c>
      <c r="R44" s="11" t="s">
        <v>29</v>
      </c>
      <c r="S44" s="11"/>
    </row>
    <row r="45" ht="12.75" customHeight="1">
      <c r="A45" s="9">
        <v>13.0</v>
      </c>
      <c r="B45" s="11"/>
      <c r="C45" s="11"/>
      <c r="D45" s="11"/>
      <c r="E45" s="12"/>
      <c r="F45" s="12"/>
      <c r="G45" s="12"/>
      <c r="H45" s="12"/>
      <c r="I45" s="15"/>
      <c r="J45" s="14">
        <f t="shared" si="6"/>
        <v>0</v>
      </c>
      <c r="K45" s="14">
        <v>1.0</v>
      </c>
      <c r="L45" s="15">
        <f t="shared" si="7"/>
        <v>0</v>
      </c>
      <c r="M45" s="15"/>
      <c r="N45" s="14">
        <f t="shared" si="8"/>
        <v>0</v>
      </c>
      <c r="O45" s="14">
        <v>1.0</v>
      </c>
      <c r="P45" s="15">
        <f t="shared" si="9"/>
        <v>0</v>
      </c>
      <c r="Q45" s="15">
        <f t="shared" si="10"/>
        <v>0</v>
      </c>
      <c r="R45" s="11" t="s">
        <v>29</v>
      </c>
      <c r="S45" s="11"/>
    </row>
    <row r="46" ht="12.75" customHeight="1">
      <c r="A46" s="9">
        <v>14.0</v>
      </c>
      <c r="B46" s="11"/>
      <c r="C46" s="11"/>
      <c r="D46" s="11"/>
      <c r="E46" s="12"/>
      <c r="F46" s="12"/>
      <c r="G46" s="12"/>
      <c r="H46" s="12"/>
      <c r="I46" s="15"/>
      <c r="J46" s="14">
        <f t="shared" si="6"/>
        <v>0</v>
      </c>
      <c r="K46" s="14">
        <v>1.0</v>
      </c>
      <c r="L46" s="15">
        <f t="shared" si="7"/>
        <v>0</v>
      </c>
      <c r="M46" s="15"/>
      <c r="N46" s="14">
        <f t="shared" si="8"/>
        <v>0</v>
      </c>
      <c r="O46" s="14">
        <v>1.0</v>
      </c>
      <c r="P46" s="15">
        <f t="shared" si="9"/>
        <v>0</v>
      </c>
      <c r="Q46" s="15">
        <f t="shared" si="10"/>
        <v>0</v>
      </c>
      <c r="R46" s="11" t="s">
        <v>29</v>
      </c>
      <c r="S46" s="11"/>
    </row>
    <row r="47" ht="12.75" customHeight="1">
      <c r="A47" s="9">
        <v>15.0</v>
      </c>
      <c r="B47" s="11"/>
      <c r="C47" s="11"/>
      <c r="D47" s="11"/>
      <c r="E47" s="12"/>
      <c r="F47" s="12"/>
      <c r="G47" s="12"/>
      <c r="H47" s="12"/>
      <c r="I47" s="15"/>
      <c r="J47" s="14">
        <f t="shared" si="6"/>
        <v>0</v>
      </c>
      <c r="K47" s="14">
        <v>1.0</v>
      </c>
      <c r="L47" s="15">
        <f t="shared" si="7"/>
        <v>0</v>
      </c>
      <c r="M47" s="15"/>
      <c r="N47" s="14">
        <f t="shared" si="8"/>
        <v>0</v>
      </c>
      <c r="O47" s="14">
        <v>1.0</v>
      </c>
      <c r="P47" s="15">
        <f t="shared" si="9"/>
        <v>0</v>
      </c>
      <c r="Q47" s="15">
        <f t="shared" si="10"/>
        <v>0</v>
      </c>
      <c r="R47" s="11" t="s">
        <v>29</v>
      </c>
      <c r="S47" s="11"/>
    </row>
    <row r="48" ht="12.75" customHeight="1">
      <c r="A48" s="9">
        <v>16.0</v>
      </c>
      <c r="B48" s="11"/>
      <c r="C48" s="11"/>
      <c r="D48" s="11"/>
      <c r="E48" s="12"/>
      <c r="F48" s="12"/>
      <c r="G48" s="12"/>
      <c r="H48" s="12"/>
      <c r="I48" s="15"/>
      <c r="J48" s="14">
        <f t="shared" si="6"/>
        <v>0</v>
      </c>
      <c r="K48" s="14">
        <v>1.0</v>
      </c>
      <c r="L48" s="15">
        <f t="shared" si="7"/>
        <v>0</v>
      </c>
      <c r="M48" s="15"/>
      <c r="N48" s="14">
        <f t="shared" si="8"/>
        <v>0</v>
      </c>
      <c r="O48" s="14">
        <v>1.0</v>
      </c>
      <c r="P48" s="15">
        <f t="shared" si="9"/>
        <v>0</v>
      </c>
      <c r="Q48" s="15">
        <f t="shared" si="10"/>
        <v>0</v>
      </c>
      <c r="R48" s="11" t="s">
        <v>29</v>
      </c>
      <c r="S48" s="11"/>
    </row>
    <row r="49" ht="12.75" customHeight="1">
      <c r="A49" s="9">
        <v>17.0</v>
      </c>
      <c r="B49" s="11"/>
      <c r="C49" s="11"/>
      <c r="D49" s="11"/>
      <c r="E49" s="12"/>
      <c r="F49" s="12"/>
      <c r="G49" s="12"/>
      <c r="H49" s="12"/>
      <c r="I49" s="15"/>
      <c r="J49" s="14">
        <f t="shared" si="6"/>
        <v>0</v>
      </c>
      <c r="K49" s="14">
        <v>1.0</v>
      </c>
      <c r="L49" s="15">
        <f t="shared" si="7"/>
        <v>0</v>
      </c>
      <c r="M49" s="15"/>
      <c r="N49" s="14">
        <f t="shared" si="8"/>
        <v>0</v>
      </c>
      <c r="O49" s="14">
        <v>1.0</v>
      </c>
      <c r="P49" s="15">
        <f t="shared" si="9"/>
        <v>0</v>
      </c>
      <c r="Q49" s="15">
        <f t="shared" si="10"/>
        <v>0</v>
      </c>
      <c r="R49" s="11" t="s">
        <v>29</v>
      </c>
      <c r="S49" s="11"/>
    </row>
    <row r="50" ht="12.75" customHeight="1">
      <c r="A50" s="9">
        <v>18.0</v>
      </c>
      <c r="B50" s="11"/>
      <c r="C50" s="11"/>
      <c r="D50" s="11"/>
      <c r="E50" s="12"/>
      <c r="F50" s="12"/>
      <c r="G50" s="12"/>
      <c r="H50" s="12"/>
      <c r="I50" s="15"/>
      <c r="J50" s="14">
        <f t="shared" si="6"/>
        <v>0</v>
      </c>
      <c r="K50" s="14">
        <v>1.0</v>
      </c>
      <c r="L50" s="15">
        <f t="shared" si="7"/>
        <v>0</v>
      </c>
      <c r="M50" s="15"/>
      <c r="N50" s="14">
        <f t="shared" si="8"/>
        <v>0</v>
      </c>
      <c r="O50" s="14">
        <v>1.0</v>
      </c>
      <c r="P50" s="15">
        <f t="shared" si="9"/>
        <v>0</v>
      </c>
      <c r="Q50" s="15">
        <f t="shared" si="10"/>
        <v>0</v>
      </c>
      <c r="R50" s="11" t="s">
        <v>29</v>
      </c>
      <c r="S50" s="11"/>
    </row>
    <row r="51" ht="12.75" customHeight="1">
      <c r="B51" s="17" t="s">
        <v>72</v>
      </c>
      <c r="C51" s="17"/>
      <c r="D51" s="17"/>
      <c r="E51" s="17"/>
      <c r="F51" s="17"/>
      <c r="G51" s="17"/>
      <c r="H51" s="17"/>
      <c r="I51" s="17"/>
      <c r="J51" s="17"/>
      <c r="K51" s="17"/>
      <c r="L51" s="18">
        <f>SUM(L32:L50)</f>
        <v>0</v>
      </c>
      <c r="M51" s="17"/>
      <c r="N51" s="17"/>
      <c r="O51" s="17"/>
      <c r="P51" s="18">
        <f>SUM(P32:P50)</f>
        <v>0</v>
      </c>
      <c r="Q51" s="18">
        <f t="shared" si="10"/>
        <v>0</v>
      </c>
      <c r="R51" s="17"/>
      <c r="S51" s="17"/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I4:L4"/>
    <mergeCell ref="I5:L5"/>
    <mergeCell ref="M5:N5"/>
    <mergeCell ref="B7:R7"/>
    <mergeCell ref="B8:R8"/>
    <mergeCell ref="E1:H1"/>
    <mergeCell ref="I1:L1"/>
    <mergeCell ref="M1:N1"/>
    <mergeCell ref="E2:H2"/>
    <mergeCell ref="I2:L2"/>
    <mergeCell ref="M2:N2"/>
    <mergeCell ref="M4:N4"/>
  </mergeCells>
  <dataValidations>
    <dataValidation type="custom" allowBlank="1" showInputMessage="1" showErrorMessage="1" prompt=" - " sqref="I25 M25">
      <formula1>COUNTA($D$25)=1</formula1>
    </dataValidation>
    <dataValidation type="custom" allowBlank="1" showInputMessage="1" showErrorMessage="1" prompt=" - " sqref="I26 M26">
      <formula1>COUNTA($D$26)=1</formula1>
    </dataValidation>
    <dataValidation type="custom" allowBlank="1" showInputMessage="1" showErrorMessage="1" prompt=" - " sqref="I40 M40">
      <formula1>COUNTA($D$40)=1</formula1>
    </dataValidation>
    <dataValidation type="custom" allowBlank="1" showInputMessage="1" showErrorMessage="1" prompt=" - " sqref="I24 M24">
      <formula1>COUNTA($D$24)=1</formula1>
    </dataValidation>
    <dataValidation type="custom" allowBlank="1" showInputMessage="1" showErrorMessage="1" prompt=" - " sqref="I11 M11">
      <formula1>COUNTA($D$11)=1</formula1>
    </dataValidation>
    <dataValidation type="custom" allowBlank="1" showInputMessage="1" showErrorMessage="1" prompt=" - " sqref="I39 M39">
      <formula1>COUNTA($D$39)=1</formula1>
    </dataValidation>
    <dataValidation type="list" allowBlank="1" showInputMessage="1" showErrorMessage="1" prompt=" - " sqref="R10:R27 R33:R50">
      <formula1>"Y,N"</formula1>
    </dataValidation>
    <dataValidation type="custom" allowBlank="1" showInputMessage="1" showErrorMessage="1" prompt=" - " sqref="I41 M41">
      <formula1>COUNTA($D$41)=1</formula1>
    </dataValidation>
    <dataValidation type="custom" allowBlank="1" showInputMessage="1" showErrorMessage="1" prompt=" - " sqref="I10 M10">
      <formula1>COUNTA($D$10)=1</formula1>
    </dataValidation>
    <dataValidation type="custom" allowBlank="1" showInputMessage="1" showErrorMessage="1" prompt=" - " sqref="I42 M42">
      <formula1>COUNTA($D$42)=1</formula1>
    </dataValidation>
    <dataValidation type="custom" allowBlank="1" showInputMessage="1" showErrorMessage="1" prompt=" - " sqref="I36 M36">
      <formula1>COUNTA($D$36)=1</formula1>
    </dataValidation>
    <dataValidation type="custom" allowBlank="1" showInputMessage="1" showErrorMessage="1" prompt=" - " sqref="I37 M37">
      <formula1>COUNTA($D$37)=1</formula1>
    </dataValidation>
    <dataValidation type="custom" allowBlank="1" showInputMessage="1" showErrorMessage="1" prompt=" - " sqref="I20 M20">
      <formula1>COUNTA($D$20)=1</formula1>
    </dataValidation>
    <dataValidation type="list" allowBlank="1" showInputMessage="1" showErrorMessage="1" prompt=" - " sqref="D10:D27 D33:D50">
      <formula1>"1,2"</formula1>
    </dataValidation>
    <dataValidation type="custom" allowBlank="1" showInputMessage="1" showErrorMessage="1" prompt=" - " sqref="I21 M21">
      <formula1>COUNTA($D$21)=1</formula1>
    </dataValidation>
    <dataValidation type="custom" allowBlank="1" showInputMessage="1" showErrorMessage="1" prompt=" - " sqref="I35 M35">
      <formula1>COUNTA($D$35)=1</formula1>
    </dataValidation>
    <dataValidation type="custom" allowBlank="1" showInputMessage="1" showErrorMessage="1" prompt=" - " sqref="I38 M38">
      <formula1>COUNTA($D$38)=1</formula1>
    </dataValidation>
    <dataValidation type="custom" allowBlank="1" showInputMessage="1" showErrorMessage="1" prompt=" - " sqref="I23 M23">
      <formula1>COUNTA($D$23)=1</formula1>
    </dataValidation>
    <dataValidation type="custom" allowBlank="1" showInputMessage="1" showErrorMessage="1" prompt=" - " sqref="I22 M22">
      <formula1>COUNTA($D$22)=1</formula1>
    </dataValidation>
    <dataValidation type="custom" allowBlank="1" showInputMessage="1" showErrorMessage="1" prompt=" - " sqref="I18 M18">
      <formula1>COUNTA($D$18)=1</formula1>
    </dataValidation>
    <dataValidation type="custom" allowBlank="1" showInputMessage="1" showErrorMessage="1" prompt=" - " sqref="I19 M19">
      <formula1>COUNTA($D$19)=1</formula1>
    </dataValidation>
    <dataValidation type="custom" allowBlank="1" showInputMessage="1" showErrorMessage="1" prompt=" - " sqref="I47 M47">
      <formula1>COUNTA($D$47)=1</formula1>
    </dataValidation>
    <dataValidation type="custom" allowBlank="1" showInputMessage="1" showErrorMessage="1" prompt=" - " sqref="I49 M49">
      <formula1>COUNTA($D$49)=1</formula1>
    </dataValidation>
    <dataValidation type="custom" allowBlank="1" showInputMessage="1" showErrorMessage="1" prompt=" - " sqref="I34 M34">
      <formula1>COUNTA($D$34)=1</formula1>
    </dataValidation>
    <dataValidation type="custom" allowBlank="1" showInputMessage="1" showErrorMessage="1" prompt=" - " sqref="I16 M16">
      <formula1>COUNTA($D$16)=1</formula1>
    </dataValidation>
    <dataValidation type="custom" allowBlank="1" showInputMessage="1" showErrorMessage="1" prompt=" - " sqref="I33 M33">
      <formula1>COUNTA($D$33)=1</formula1>
    </dataValidation>
    <dataValidation type="custom" allowBlank="1" showInputMessage="1" showErrorMessage="1" prompt=" - " sqref="I17 M17">
      <formula1>COUNTA($D$17)=1</formula1>
    </dataValidation>
    <dataValidation type="custom" allowBlank="1" showInputMessage="1" showErrorMessage="1" prompt=" - " sqref="I48 M48">
      <formula1>COUNTA($D$48)=1</formula1>
    </dataValidation>
    <dataValidation type="custom" allowBlank="1" showInputMessage="1" showErrorMessage="1" prompt=" - " sqref="I43 M43">
      <formula1>COUNTA($D$43)=1</formula1>
    </dataValidation>
    <dataValidation type="custom" allowBlank="1" showInputMessage="1" showErrorMessage="1" prompt=" - " sqref="I44 M44">
      <formula1>COUNTA($D$44)=1</formula1>
    </dataValidation>
    <dataValidation type="custom" allowBlank="1" showInputMessage="1" showErrorMessage="1" prompt=" - " sqref="I50 M50">
      <formula1>COUNTA($D$50)=1</formula1>
    </dataValidation>
    <dataValidation type="custom" allowBlank="1" showInputMessage="1" showErrorMessage="1" prompt=" - " sqref="I13 M13">
      <formula1>COUNTA($D$13)=1</formula1>
    </dataValidation>
    <dataValidation type="custom" allowBlank="1" showInputMessage="1" showErrorMessage="1" prompt=" - " sqref="I12 M12">
      <formula1>COUNTA($D$12)=1</formula1>
    </dataValidation>
    <dataValidation type="custom" allowBlank="1" showInputMessage="1" showErrorMessage="1" prompt=" - " sqref="I15 M15">
      <formula1>COUNTA($D$15)=1</formula1>
    </dataValidation>
    <dataValidation type="custom" allowBlank="1" showInputMessage="1" showErrorMessage="1" prompt=" - " sqref="I27 M27">
      <formula1>COUNTA($D$27)=1</formula1>
    </dataValidation>
    <dataValidation type="custom" allowBlank="1" showInputMessage="1" showErrorMessage="1" prompt=" - " sqref="I46 M46">
      <formula1>COUNTA($D$46)=1</formula1>
    </dataValidation>
    <dataValidation type="custom" allowBlank="1" showInputMessage="1" showErrorMessage="1" prompt=" - " sqref="I14 M14">
      <formula1>COUNTA($D$14)=1</formula1>
    </dataValidation>
    <dataValidation type="custom" allowBlank="1" showInputMessage="1" showErrorMessage="1" prompt=" - " sqref="I45 M45">
      <formula1>COUNTA($D$45)=1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